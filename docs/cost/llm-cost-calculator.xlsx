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ing" sheetId="1" state="visible" r:id="rId1"/>
    <sheet name="Supuestos" sheetId="2" state="visible" r:id="rId2"/>
    <sheet name="Calculo" sheetId="3" state="visible" r:id="rId3"/>
    <sheet name="E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;($#,##0.00);-"/>
    <numFmt numFmtId="165" formatCode="#,##0;(#,##0);-"/>
    <numFmt numFmtId="166" formatCode="$#,##0.000000;($#,##0.000000);-"/>
    <numFmt numFmtId="167" formatCode="$#,##0;($#,##0);-"/>
  </numFmts>
  <fonts count="11">
    <font>
      <name val="Calibri"/>
      <family val="2"/>
      <color theme="1"/>
      <sz val="11"/>
      <scheme val="minor"/>
    </font>
    <font>
      <name val="Arial"/>
      <b val="1"/>
      <color rgb="001F4E78"/>
      <sz val="13"/>
    </font>
    <font>
      <name val="Arial"/>
      <i val="1"/>
      <color rgb="00808080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2E7D32"/>
      <sz val="10"/>
    </font>
    <font>
      <name val="Arial"/>
      <b val="1"/>
      <color rgb="001F4E78"/>
      <sz val="11"/>
    </font>
    <font>
      <name val="Arial"/>
      <color rgb="00000000"/>
      <sz val="10"/>
    </font>
    <font>
      <name val="Arial"/>
      <b val="1"/>
      <sz val="10"/>
    </font>
    <font>
      <name val="Arial"/>
      <b val="1"/>
      <color rgb="001F4E78"/>
      <sz val="10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F00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pivotButton="0" quotePrefix="0" xfId="0"/>
    <xf numFmtId="164" fontId="5" fillId="3" borderId="1" pivotButton="0" quotePrefix="0" xfId="0"/>
    <xf numFmtId="0" fontId="2" fillId="0" borderId="1" pivotButton="0" quotePrefix="0" xfId="0"/>
    <xf numFmtId="0" fontId="6" fillId="4" borderId="1" pivotButton="0" quotePrefix="0" xfId="0"/>
    <xf numFmtId="0" fontId="7" fillId="0" borderId="0" pivotButton="0" quotePrefix="0" xfId="0"/>
    <xf numFmtId="0" fontId="4" fillId="0" borderId="0" pivotButton="0" quotePrefix="0" xfId="0"/>
    <xf numFmtId="165" fontId="5" fillId="5" borderId="1" pivotButton="0" quotePrefix="0" xfId="0"/>
    <xf numFmtId="9" fontId="5" fillId="5" borderId="1" pivotButton="0" quotePrefix="0" xfId="0"/>
    <xf numFmtId="0" fontId="5" fillId="5" borderId="1" pivotButton="0" quotePrefix="0" xfId="0"/>
    <xf numFmtId="0" fontId="3" fillId="2" borderId="1" pivotButton="0" quotePrefix="0" xfId="0"/>
    <xf numFmtId="0" fontId="3" fillId="2" borderId="1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8" fillId="0" borderId="1" pivotButton="0" quotePrefix="0" xfId="0"/>
    <xf numFmtId="164" fontId="8" fillId="0" borderId="1" pivotButton="0" quotePrefix="0" xfId="0"/>
    <xf numFmtId="166" fontId="8" fillId="0" borderId="1" pivotButton="0" quotePrefix="0" xfId="0"/>
    <xf numFmtId="0" fontId="9" fillId="0" borderId="1" pivotButton="0" quotePrefix="0" xfId="0"/>
    <xf numFmtId="166" fontId="9" fillId="0" borderId="1" pivotButton="0" quotePrefix="0" xfId="0"/>
    <xf numFmtId="165" fontId="8" fillId="0" borderId="1" pivotButton="0" quotePrefix="0" xfId="0"/>
    <xf numFmtId="164" fontId="10" fillId="0" borderId="1" pivotButton="0" quotePrefix="0" xfId="0"/>
    <xf numFmtId="167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3" customWidth="1" min="3" max="3"/>
    <col width="13" customWidth="1" min="4" max="4"/>
    <col width="17" customWidth="1" min="5" max="5"/>
    <col width="42" customWidth="1" min="6" max="6"/>
  </cols>
  <sheetData>
    <row r="1">
      <c r="A1" s="1" t="inlineStr">
        <is>
          <t>Precios por Modelo (USD por 1,000,000 de tokens)</t>
        </is>
      </c>
    </row>
    <row r="2">
      <c r="A2" s="2" t="inlineStr">
        <is>
          <t>Precios reales recopilados en jun-2026 (ver columna Fuente y bloque de fuentes abajo). Los precios cambian: confirmar antes de comprometer presupuesto. Cache = input cacheado (prompt caching).</t>
        </is>
      </c>
    </row>
    <row r="4">
      <c r="A4" s="3" t="inlineStr">
        <is>
          <t>Modelo</t>
        </is>
      </c>
      <c r="B4" s="3" t="inlineStr">
        <is>
          <t>Proveedor</t>
        </is>
      </c>
      <c r="C4" s="3" t="inlineStr">
        <is>
          <t>Input $/1M</t>
        </is>
      </c>
      <c r="D4" s="3" t="inlineStr">
        <is>
          <t>Output $/1M</t>
        </is>
      </c>
      <c r="E4" s="3" t="inlineStr">
        <is>
          <t>Cached input $/1M</t>
        </is>
      </c>
      <c r="F4" s="3" t="inlineStr">
        <is>
          <t>Fuente (ver bloque abajo)</t>
        </is>
      </c>
    </row>
    <row r="5">
      <c r="A5" s="4" t="inlineStr">
        <is>
          <t>Claude Opus 4.7</t>
        </is>
      </c>
      <c r="B5" s="4" t="inlineStr">
        <is>
          <t>Anthropic</t>
        </is>
      </c>
      <c r="C5" s="5" t="n">
        <v>5</v>
      </c>
      <c r="D5" s="5" t="n">
        <v>25</v>
      </c>
      <c r="E5" s="5" t="n">
        <v>0.5</v>
      </c>
      <c r="F5" s="6" t="inlineStr">
        <is>
          <t>BenchLM.ai, abr-2026 (cache=10% input)</t>
        </is>
      </c>
    </row>
    <row r="6">
      <c r="A6" s="4" t="inlineStr">
        <is>
          <t>Claude Sonnet 4.6</t>
        </is>
      </c>
      <c r="B6" s="4" t="inlineStr">
        <is>
          <t>Anthropic</t>
        </is>
      </c>
      <c r="C6" s="5" t="n">
        <v>3</v>
      </c>
      <c r="D6" s="5" t="n">
        <v>15</v>
      </c>
      <c r="E6" s="5" t="n">
        <v>0.3</v>
      </c>
      <c r="F6" s="6" t="inlineStr">
        <is>
          <t>BenchLM.ai, abr-2026</t>
        </is>
      </c>
    </row>
    <row r="7">
      <c r="A7" s="4" t="inlineStr">
        <is>
          <t>Claude Haiku 4.5</t>
        </is>
      </c>
      <c r="B7" s="4" t="inlineStr">
        <is>
          <t>Anthropic</t>
        </is>
      </c>
      <c r="C7" s="5" t="n">
        <v>1</v>
      </c>
      <c r="D7" s="5" t="n">
        <v>5</v>
      </c>
      <c r="E7" s="5" t="n">
        <v>0.1</v>
      </c>
      <c r="F7" s="6" t="inlineStr">
        <is>
          <t>BenchLM.ai, abr-2026</t>
        </is>
      </c>
    </row>
    <row r="8">
      <c r="A8" s="4" t="inlineStr">
        <is>
          <t>GPT-5.4</t>
        </is>
      </c>
      <c r="B8" s="4" t="inlineStr">
        <is>
          <t>OpenAI</t>
        </is>
      </c>
      <c r="C8" s="5" t="n">
        <v>2.5</v>
      </c>
      <c r="D8" s="5" t="n">
        <v>15</v>
      </c>
      <c r="E8" s="5" t="n">
        <v>0.25</v>
      </c>
      <c r="F8" s="6" t="inlineStr">
        <is>
          <t>BenchLM.ai, 2026-04-13</t>
        </is>
      </c>
    </row>
    <row r="9">
      <c r="A9" s="7" t="inlineStr">
        <is>
          <t>GPT-5.2</t>
        </is>
      </c>
      <c r="B9" s="4" t="inlineStr">
        <is>
          <t>OpenAI</t>
        </is>
      </c>
      <c r="C9" s="5" t="n">
        <v>1.75</v>
      </c>
      <c r="D9" s="5" t="n">
        <v>14</v>
      </c>
      <c r="E9" s="5" t="n">
        <v>0.175</v>
      </c>
      <c r="F9" s="6" t="inlineStr">
        <is>
          <t>BenchLM.ai, 2026-04-13 (rel 2025-12-10)</t>
        </is>
      </c>
    </row>
    <row r="10">
      <c r="A10" s="4" t="inlineStr">
        <is>
          <t>GPT-5.1</t>
        </is>
      </c>
      <c r="B10" s="4" t="inlineStr">
        <is>
          <t>OpenAI</t>
        </is>
      </c>
      <c r="C10" s="5" t="n">
        <v>1.25</v>
      </c>
      <c r="D10" s="5" t="n">
        <v>10</v>
      </c>
      <c r="E10" s="5" t="n">
        <v>0.125</v>
      </c>
      <c r="F10" s="6" t="inlineStr">
        <is>
          <t>BenchLM.ai, 2026-04-13</t>
        </is>
      </c>
    </row>
    <row r="11">
      <c r="A11" s="4" t="inlineStr">
        <is>
          <t>GPT-5.4 mini</t>
        </is>
      </c>
      <c r="B11" s="4" t="inlineStr">
        <is>
          <t>OpenAI</t>
        </is>
      </c>
      <c r="C11" s="5" t="n">
        <v>0.75</v>
      </c>
      <c r="D11" s="5" t="n">
        <v>4.5</v>
      </c>
      <c r="E11" s="5" t="n">
        <v>0.075</v>
      </c>
      <c r="F11" s="6" t="inlineStr">
        <is>
          <t>BenchLM.ai, 2026-04-13</t>
        </is>
      </c>
    </row>
    <row r="12">
      <c r="A12" s="4" t="inlineStr">
        <is>
          <t>GPT-5.4 nano</t>
        </is>
      </c>
      <c r="B12" s="4" t="inlineStr">
        <is>
          <t>OpenAI</t>
        </is>
      </c>
      <c r="C12" s="5" t="n">
        <v>0.2</v>
      </c>
      <c r="D12" s="5" t="n">
        <v>1.25</v>
      </c>
      <c r="E12" s="5" t="n">
        <v>0.02</v>
      </c>
      <c r="F12" s="6" t="inlineStr">
        <is>
          <t>BenchLM.ai, 2026-04-13</t>
        </is>
      </c>
    </row>
    <row r="13">
      <c r="A13" s="7" t="inlineStr">
        <is>
          <t>GPT-5 mini</t>
        </is>
      </c>
      <c r="B13" s="4" t="inlineStr">
        <is>
          <t>OpenAI</t>
        </is>
      </c>
      <c r="C13" s="5" t="n">
        <v>0.25</v>
      </c>
      <c r="D13" s="5" t="n">
        <v>2</v>
      </c>
      <c r="E13" s="5" t="n">
        <v>0.025</v>
      </c>
      <c r="F13" s="6" t="inlineStr">
        <is>
          <t>OpenRouter/OpenAI, 2026 (cache=10%)</t>
        </is>
      </c>
    </row>
    <row r="14">
      <c r="A14" s="4" t="inlineStr">
        <is>
          <t>Gemini 2.5 Pro</t>
        </is>
      </c>
      <c r="B14" s="4" t="inlineStr">
        <is>
          <t>Google</t>
        </is>
      </c>
      <c r="C14" s="5" t="n">
        <v>1.25</v>
      </c>
      <c r="D14" s="5" t="n">
        <v>10</v>
      </c>
      <c r="E14" s="5" t="n">
        <v>0.3125</v>
      </c>
      <c r="F14" s="6" t="inlineStr">
        <is>
          <t>ai.google.dev / TLDL, 2026 (cache aprox 25%)</t>
        </is>
      </c>
    </row>
    <row r="15">
      <c r="A15" s="4" t="inlineStr">
        <is>
          <t>Gemini 2.5 Flash</t>
        </is>
      </c>
      <c r="B15" s="4" t="inlineStr">
        <is>
          <t>Google</t>
        </is>
      </c>
      <c r="C15" s="5" t="n">
        <v>0.3</v>
      </c>
      <c r="D15" s="5" t="n">
        <v>2.5</v>
      </c>
      <c r="E15" s="5" t="n">
        <v>0.075</v>
      </c>
      <c r="F15" s="6" t="inlineStr">
        <is>
          <t>ai.google.dev / pricepertoken, 2026 (cache aprox 25%)</t>
        </is>
      </c>
    </row>
    <row r="16">
      <c r="A16" s="4" t="inlineStr">
        <is>
          <t>Open-source self-host</t>
        </is>
      </c>
      <c r="B16" s="4" t="inlineStr">
        <is>
          <t>Self-host</t>
        </is>
      </c>
      <c r="C16" s="5" t="n">
        <v>0.2</v>
      </c>
      <c r="D16" s="5" t="n">
        <v>0.2</v>
      </c>
      <c r="E16" s="5" t="n">
        <v>0.2</v>
      </c>
      <c r="F16" s="6" t="inlineStr">
        <is>
          <t>Estimacion infra (depende del despliegue)</t>
        </is>
      </c>
    </row>
    <row r="18">
      <c r="A18" s="8" t="inlineStr">
        <is>
          <t>Fuentes (URLs)</t>
        </is>
      </c>
    </row>
    <row r="19">
      <c r="A19" s="2" t="inlineStr">
        <is>
          <t>- Anthropic (Sonnet 4.6, Haiku 4.5, Opus 4.7): https://benchlm.ai/blog/posts/claude-api-pricing (abr-2026)</t>
        </is>
      </c>
    </row>
    <row r="20">
      <c r="A20" s="2" t="inlineStr">
        <is>
          <t>- Anthropic pricing oficial: https://platform.claude.com/docs/en/about-claude/pricing</t>
        </is>
      </c>
    </row>
    <row r="21">
      <c r="A21" s="2" t="inlineStr">
        <is>
          <t>- OpenAI (GPT-5.4/5.2/5.1, mini, nano): https://benchlm.ai/blog/posts/openai-api-pricing (2026-04-13)</t>
        </is>
      </c>
    </row>
    <row r="22">
      <c r="A22" s="2" t="inlineStr">
        <is>
          <t>- OpenAI GPT-5 mini: https://openrouter.ai/openai/gpt-5-mini ; oficial: https://openai.com/api/pricing/</t>
        </is>
      </c>
    </row>
    <row r="23">
      <c r="A23" s="2" t="inlineStr">
        <is>
          <t>- Google Gemini 2.5 Pro/Flash: https://ai.google.dev/gemini-api/docs/pricing ; https://www.tldl.io/resources/google-gemini-api-pricing</t>
        </is>
      </c>
    </row>
    <row r="24">
      <c r="A24" s="2" t="inlineStr">
        <is>
          <t>- Benchmark de exactitud (capa semantica vs text-to-SQL): https://dbt-labs.github.io/dbt-llm-sl-bench/ ; https://docs.getdbt.com/blog/semantic-layer-vs-text-to-sql-2026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Supuestos (editar las celdas amarillas)</t>
        </is>
      </c>
    </row>
    <row r="2">
      <c r="A2" s="2" t="inlineStr">
        <is>
          <t>Celdas amarillas = inputs configurables. El resto del libro recalcula a partir de aqui.</t>
        </is>
      </c>
    </row>
    <row r="4">
      <c r="A4" s="8" t="inlineStr">
        <is>
          <t>Volumen</t>
        </is>
      </c>
    </row>
    <row r="5">
      <c r="A5" s="9" t="inlineStr">
        <is>
          <t>N usuarios</t>
        </is>
      </c>
      <c r="B5" s="10" t="n">
        <v>1</v>
      </c>
    </row>
    <row r="6">
      <c r="A6" s="9" t="inlineStr">
        <is>
          <t>Interacciones por usuario por dia</t>
        </is>
      </c>
      <c r="B6" s="10" t="n">
        <v>20</v>
      </c>
    </row>
    <row r="7">
      <c r="A7" s="9" t="inlineStr">
        <is>
          <t>Dias por mes</t>
        </is>
      </c>
      <c r="B7" s="10" t="n">
        <v>22</v>
      </c>
    </row>
    <row r="8">
      <c r="A8" s="9" t="inlineStr">
        <is>
          <t>% interacciones que usan el nivel planificador</t>
        </is>
      </c>
      <c r="B8" s="11" t="n">
        <v>0.5</v>
      </c>
    </row>
    <row r="9">
      <c r="A9" s="9" t="inlineStr">
        <is>
          <t>% de hit de prompt caching</t>
        </is>
      </c>
      <c r="B9" s="11" t="n">
        <v>0.8</v>
      </c>
    </row>
    <row r="11">
      <c r="A11" s="8" t="inlineStr">
        <is>
          <t>Modelos seleccionados (default = recomendado)</t>
        </is>
      </c>
    </row>
    <row r="12">
      <c r="A12" s="9" t="inlineStr">
        <is>
          <t>Modelo planificador (heavy)</t>
        </is>
      </c>
      <c r="B12" s="12" t="inlineStr">
        <is>
          <t>GPT-5.2</t>
        </is>
      </c>
    </row>
    <row r="13">
      <c r="A13" s="9" t="inlineStr">
        <is>
          <t>Modelo ligero (light)</t>
        </is>
      </c>
      <c r="B13" s="12" t="inlineStr">
        <is>
          <t>GPT-5 mini</t>
        </is>
      </c>
    </row>
    <row r="15">
      <c r="A15" s="8" t="inlineStr">
        <is>
          <t>Perfil de tokens por interaccion</t>
        </is>
      </c>
    </row>
    <row r="16">
      <c r="A16" s="13" t="inlineStr">
        <is>
          <t>Componente</t>
        </is>
      </c>
      <c r="B16" s="14" t="inlineStr">
        <is>
          <t>Planificador</t>
        </is>
      </c>
      <c r="C16" s="14" t="inlineStr">
        <is>
          <t>Ligero</t>
        </is>
      </c>
    </row>
    <row r="17">
      <c r="A17" s="9" t="inlineStr">
        <is>
          <t>Tokens contexto cacheable (catalogo + system prompt)</t>
        </is>
      </c>
      <c r="B17" s="10" t="n">
        <v>4000</v>
      </c>
      <c r="C17" s="10" t="n">
        <v>2000</v>
      </c>
    </row>
    <row r="18">
      <c r="A18" s="9" t="inlineStr">
        <is>
          <t>Tokens entrada dinamica (historial + mensaje)</t>
        </is>
      </c>
      <c r="B18" s="10" t="n">
        <v>1500</v>
      </c>
      <c r="C18" s="10" t="n">
        <v>500</v>
      </c>
    </row>
    <row r="19">
      <c r="A19" s="9" t="inlineStr">
        <is>
          <t>Tokens de salida</t>
        </is>
      </c>
      <c r="B19" s="10" t="n">
        <v>700</v>
      </c>
      <c r="C19" s="10" t="n">
        <v>200</v>
      </c>
    </row>
    <row r="21">
      <c r="A21" s="15" t="inlineStr">
        <is>
          <t>Nota: el contexto cacheable representa el catalogo de metricas + system prompt, estable entre interacciones y por eso sujeto a prompt caching. La entrada dinamica (historial + mensaje del usuario) se paga a precio normal de input.</t>
        </is>
      </c>
    </row>
    <row r="22"/>
    <row r="23"/>
  </sheetData>
  <mergeCells count="1">
    <mergeCell ref="A21:D23"/>
  </mergeCells>
  <dataValidations count="1">
    <dataValidation sqref="B12 B13" showDropDown="0" showInputMessage="0" showErrorMessage="0" allowBlank="0" type="list">
      <formula1>=Pricing!$A$5:$A$16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Calculo de Costo (modelo seleccionado en Supuestos)</t>
        </is>
      </c>
    </row>
    <row r="3">
      <c r="A3" s="8" t="inlineStr">
        <is>
          <t>Precios resueltos (lookup desde Pricing)</t>
        </is>
      </c>
    </row>
    <row r="4">
      <c r="A4" s="3" t="inlineStr">
        <is>
          <t>Nivel</t>
        </is>
      </c>
      <c r="B4" s="3" t="inlineStr">
        <is>
          <t>Modelo</t>
        </is>
      </c>
      <c r="C4" s="3" t="inlineStr">
        <is>
          <t>Input $/1M</t>
        </is>
      </c>
      <c r="D4" s="3" t="inlineStr">
        <is>
          <t>Output $/1M</t>
        </is>
      </c>
      <c r="E4" s="3" t="inlineStr">
        <is>
          <t>Cached $/1M</t>
        </is>
      </c>
    </row>
    <row r="5">
      <c r="A5" s="4" t="inlineStr">
        <is>
          <t>Planificador</t>
        </is>
      </c>
      <c r="B5" s="16">
        <f>Supuestos!B12</f>
        <v/>
      </c>
      <c r="C5" s="17">
        <f>VLOOKUP($B5,Pricing!$A$5:$E$16,3,0)</f>
        <v/>
      </c>
      <c r="D5" s="17">
        <f>VLOOKUP($B5,Pricing!$A$5:$E$16,4,0)</f>
        <v/>
      </c>
      <c r="E5" s="17">
        <f>VLOOKUP($B5,Pricing!$A$5:$E$16,5,0)</f>
        <v/>
      </c>
    </row>
    <row r="6">
      <c r="A6" s="4" t="inlineStr">
        <is>
          <t>Ligero</t>
        </is>
      </c>
      <c r="B6" s="16">
        <f>Supuestos!B13</f>
        <v/>
      </c>
      <c r="C6" s="17">
        <f>VLOOKUP($B6,Pricing!$A$5:$E$16,3,0)</f>
        <v/>
      </c>
      <c r="D6" s="17">
        <f>VLOOKUP($B6,Pricing!$A$5:$E$16,4,0)</f>
        <v/>
      </c>
      <c r="E6" s="17">
        <f>VLOOKUP($B6,Pricing!$A$5:$E$16,5,0)</f>
        <v/>
      </c>
    </row>
    <row r="8">
      <c r="A8" s="8" t="inlineStr">
        <is>
          <t>Costo por interaccion (USD)</t>
        </is>
      </c>
    </row>
    <row r="9">
      <c r="A9" s="3" t="inlineStr">
        <is>
          <t>Componente</t>
        </is>
      </c>
      <c r="B9" s="3" t="inlineStr">
        <is>
          <t>Planificador</t>
        </is>
      </c>
      <c r="C9" s="3" t="inlineStr">
        <is>
          <t>Ligero</t>
        </is>
      </c>
    </row>
    <row r="10">
      <c r="A10" s="4" t="inlineStr">
        <is>
          <t>Entrada cacheable</t>
        </is>
      </c>
      <c r="B10" s="18">
        <f>Supuestos!B17*(Supuestos!$B$9*$E$5+(1-Supuestos!$B$9)*$C$5)/1000000</f>
        <v/>
      </c>
      <c r="C10" s="18">
        <f>Supuestos!C17*(Supuestos!$B$9*$E$6+(1-Supuestos!$B$9)*$C$6)/1000000</f>
        <v/>
      </c>
    </row>
    <row r="11">
      <c r="A11" s="4" t="inlineStr">
        <is>
          <t>Entrada dinamica</t>
        </is>
      </c>
      <c r="B11" s="18">
        <f>Supuestos!B18*$C$5/1000000</f>
        <v/>
      </c>
      <c r="C11" s="18">
        <f>Supuestos!C18*$C$6/1000000</f>
        <v/>
      </c>
    </row>
    <row r="12">
      <c r="A12" s="4" t="inlineStr">
        <is>
          <t>Salida</t>
        </is>
      </c>
      <c r="B12" s="18">
        <f>Supuestos!B19*$D$5/1000000</f>
        <v/>
      </c>
      <c r="C12" s="18">
        <f>Supuestos!C19*$D$6/1000000</f>
        <v/>
      </c>
    </row>
    <row r="13">
      <c r="A13" s="19" t="inlineStr">
        <is>
          <t>Total por interaccion</t>
        </is>
      </c>
      <c r="B13" s="20">
        <f>SUM(B10:B12)</f>
        <v/>
      </c>
      <c r="C13" s="20">
        <f>SUM(C10:C12)</f>
        <v/>
      </c>
    </row>
    <row r="15">
      <c r="A15" s="8" t="inlineStr">
        <is>
          <t>Volumen e impacto en costo</t>
        </is>
      </c>
    </row>
    <row r="16">
      <c r="A16" s="4" t="inlineStr">
        <is>
          <t>Interacciones por mes (total)</t>
        </is>
      </c>
      <c r="B16" s="21">
        <f>Supuestos!B5*Supuestos!B6*Supuestos!B7</f>
        <v/>
      </c>
    </row>
    <row r="17">
      <c r="A17" s="4" t="inlineStr">
        <is>
          <t>Interacciones planificador / mes</t>
        </is>
      </c>
      <c r="B17" s="21">
        <f>B16*Supuestos!B8</f>
        <v/>
      </c>
    </row>
    <row r="18">
      <c r="A18" s="4" t="inlineStr">
        <is>
          <t>Interacciones ligero / mes</t>
        </is>
      </c>
      <c r="B18" s="21">
        <f>B16*(1-Supuestos!B8)</f>
        <v/>
      </c>
    </row>
    <row r="19">
      <c r="A19" s="4" t="inlineStr">
        <is>
          <t>Costo mensual (USD)</t>
        </is>
      </c>
      <c r="B19" s="22">
        <f>B17*$B$13+B18*$C$13</f>
        <v/>
      </c>
    </row>
    <row r="20">
      <c r="A20" s="4" t="inlineStr">
        <is>
          <t>Costo diario (USD)</t>
        </is>
      </c>
      <c r="B20" s="17">
        <f>B19/Supuestos!B7</f>
        <v/>
      </c>
    </row>
    <row r="21">
      <c r="A21" s="4" t="inlineStr">
        <is>
          <t>Costo anual (USD)</t>
        </is>
      </c>
      <c r="B21" s="22">
        <f>B19*12</f>
        <v/>
      </c>
    </row>
    <row r="22">
      <c r="A22" s="4" t="inlineStr">
        <is>
          <t>Costo mensual por usuario (USD)</t>
        </is>
      </c>
      <c r="B22" s="17">
        <f>B19/Supuestos!B5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Escenarios: proveedor x numero de usuarios</t>
        </is>
      </c>
    </row>
    <row r="2">
      <c r="A2" s="2" t="inlineStr">
        <is>
          <t>Mismos supuestos de tokens, %planificador y %cache de la hoja Supuestos, con pares de modelo fijos por proveedor. OpenAI (GPT-5.2 + GPT-5 mini) es el par recomendado. Edita los nombres si quieres otros pares.</t>
        </is>
      </c>
    </row>
    <row r="4">
      <c r="A4" s="8" t="inlineStr">
        <is>
          <t>Costo por interaccion por proveedor (derivado)</t>
        </is>
      </c>
    </row>
    <row r="5">
      <c r="A5" s="3" t="inlineStr">
        <is>
          <t>Proveedor</t>
        </is>
      </c>
      <c r="B5" s="3" t="inlineStr">
        <is>
          <t>Modelo planificador</t>
        </is>
      </c>
      <c r="C5" s="3" t="inlineStr">
        <is>
          <t>Modelo ligero</t>
        </is>
      </c>
      <c r="D5" s="3" t="inlineStr">
        <is>
          <t>$/interaccion planif.</t>
        </is>
      </c>
      <c r="E5" s="3" t="inlineStr">
        <is>
          <t>$/interaccion ligero</t>
        </is>
      </c>
      <c r="F5" s="3" t="inlineStr">
        <is>
          <t>$/interaccion blended</t>
        </is>
      </c>
    </row>
    <row r="6">
      <c r="A6" s="7" t="inlineStr">
        <is>
          <t>OpenAI (recomendado)</t>
        </is>
      </c>
      <c r="B6" s="12" t="inlineStr">
        <is>
          <t>GPT-5.2</t>
        </is>
      </c>
      <c r="C6" s="12" t="inlineStr">
        <is>
          <t>GPT-5 mini</t>
        </is>
      </c>
      <c r="D6" s="18">
        <f>Supuestos!$B$17*(Supuestos!$B$9*VLOOKUP($B6,Pricing!$A$5:$E$16,5,0)+(1-Supuestos!$B$9)*VLOOKUP($B6,Pricing!$A$5:$E$16,3,0))/1000000+Supuestos!$B$18*VLOOKUP($B6,Pricing!$A$5:$E$16,3,0)/1000000+Supuestos!$B$19*VLOOKUP($B6,Pricing!$A$5:$E$16,4,0)/1000000</f>
        <v/>
      </c>
      <c r="E6" s="18">
        <f>Supuestos!$C$17*(Supuestos!$B$9*VLOOKUP($C6,Pricing!$A$5:$E$16,5,0)+(1-Supuestos!$B$9)*VLOOKUP($C6,Pricing!$A$5:$E$16,3,0))/1000000+Supuestos!$C$18*VLOOKUP($C6,Pricing!$A$5:$E$16,3,0)/1000000+Supuestos!$C$19*VLOOKUP($C6,Pricing!$A$5:$E$16,4,0)/1000000</f>
        <v/>
      </c>
      <c r="F6" s="18">
        <f>$D6*Supuestos!$B$8+$E6*(1-Supuestos!$B$8)</f>
        <v/>
      </c>
    </row>
    <row r="7">
      <c r="A7" s="4" t="inlineStr">
        <is>
          <t>Claude</t>
        </is>
      </c>
      <c r="B7" s="12" t="inlineStr">
        <is>
          <t>Claude Sonnet 4.6</t>
        </is>
      </c>
      <c r="C7" s="12" t="inlineStr">
        <is>
          <t>Claude Haiku 4.5</t>
        </is>
      </c>
      <c r="D7" s="18">
        <f>Supuestos!$B$17*(Supuestos!$B$9*VLOOKUP($B7,Pricing!$A$5:$E$16,5,0)+(1-Supuestos!$B$9)*VLOOKUP($B7,Pricing!$A$5:$E$16,3,0))/1000000+Supuestos!$B$18*VLOOKUP($B7,Pricing!$A$5:$E$16,3,0)/1000000+Supuestos!$B$19*VLOOKUP($B7,Pricing!$A$5:$E$16,4,0)/1000000</f>
        <v/>
      </c>
      <c r="E7" s="18">
        <f>Supuestos!$C$17*(Supuestos!$B$9*VLOOKUP($C7,Pricing!$A$5:$E$16,5,0)+(1-Supuestos!$B$9)*VLOOKUP($C7,Pricing!$A$5:$E$16,3,0))/1000000+Supuestos!$C$18*VLOOKUP($C7,Pricing!$A$5:$E$16,3,0)/1000000+Supuestos!$C$19*VLOOKUP($C7,Pricing!$A$5:$E$16,4,0)/1000000</f>
        <v/>
      </c>
      <c r="F7" s="18">
        <f>$D7*Supuestos!$B$8+$E7*(1-Supuestos!$B$8)</f>
        <v/>
      </c>
    </row>
    <row r="8">
      <c r="A8" s="4" t="inlineStr">
        <is>
          <t>Gemini</t>
        </is>
      </c>
      <c r="B8" s="12" t="inlineStr">
        <is>
          <t>Gemini 2.5 Pro</t>
        </is>
      </c>
      <c r="C8" s="12" t="inlineStr">
        <is>
          <t>Gemini 2.5 Flash</t>
        </is>
      </c>
      <c r="D8" s="18">
        <f>Supuestos!$B$17*(Supuestos!$B$9*VLOOKUP($B8,Pricing!$A$5:$E$16,5,0)+(1-Supuestos!$B$9)*VLOOKUP($B8,Pricing!$A$5:$E$16,3,0))/1000000+Supuestos!$B$18*VLOOKUP($B8,Pricing!$A$5:$E$16,3,0)/1000000+Supuestos!$B$19*VLOOKUP($B8,Pricing!$A$5:$E$16,4,0)/1000000</f>
        <v/>
      </c>
      <c r="E8" s="18">
        <f>Supuestos!$C$17*(Supuestos!$B$9*VLOOKUP($C8,Pricing!$A$5:$E$16,5,0)+(1-Supuestos!$B$9)*VLOOKUP($C8,Pricing!$A$5:$E$16,3,0))/1000000+Supuestos!$C$18*VLOOKUP($C8,Pricing!$A$5:$E$16,3,0)/1000000+Supuestos!$C$19*VLOOKUP($C8,Pricing!$A$5:$E$16,4,0)/1000000</f>
        <v/>
      </c>
      <c r="F8" s="18">
        <f>$D8*Supuestos!$B$8+$E8*(1-Supuestos!$B$8)</f>
        <v/>
      </c>
    </row>
    <row r="11">
      <c r="A11" s="8" t="inlineStr">
        <is>
          <t>Costo MENSUAL por escenario (USD)</t>
        </is>
      </c>
    </row>
    <row r="12">
      <c r="A12" s="3" t="inlineStr">
        <is>
          <t>Usuarios</t>
        </is>
      </c>
      <c r="B12" s="3" t="inlineStr">
        <is>
          <t>OpenAI</t>
        </is>
      </c>
      <c r="C12" s="3" t="inlineStr">
        <is>
          <t>Claude</t>
        </is>
      </c>
      <c r="D12" s="3" t="inlineStr">
        <is>
          <t>Gemini</t>
        </is>
      </c>
    </row>
    <row r="13">
      <c r="A13" s="10" t="n">
        <v>1</v>
      </c>
      <c r="B13" s="17">
        <f>$F$6*($A13*Supuestos!$B$6*Supuestos!$B$7)</f>
        <v/>
      </c>
      <c r="C13" s="17">
        <f>$F$7*($A13*Supuestos!$B$6*Supuestos!$B$7)</f>
        <v/>
      </c>
      <c r="D13" s="17">
        <f>$F$8*($A13*Supuestos!$B$6*Supuestos!$B$7)</f>
        <v/>
      </c>
    </row>
    <row r="14">
      <c r="A14" s="10" t="n">
        <v>10</v>
      </c>
      <c r="B14" s="17">
        <f>$F$6*($A14*Supuestos!$B$6*Supuestos!$B$7)</f>
        <v/>
      </c>
      <c r="C14" s="17">
        <f>$F$7*($A14*Supuestos!$B$6*Supuestos!$B$7)</f>
        <v/>
      </c>
      <c r="D14" s="17">
        <f>$F$8*($A14*Supuestos!$B$6*Supuestos!$B$7)</f>
        <v/>
      </c>
    </row>
    <row r="15">
      <c r="A15" s="10" t="n">
        <v>100</v>
      </c>
      <c r="B15" s="17">
        <f>$F$6*($A15*Supuestos!$B$6*Supuestos!$B$7)</f>
        <v/>
      </c>
      <c r="C15" s="17">
        <f>$F$7*($A15*Supuestos!$B$6*Supuestos!$B$7)</f>
        <v/>
      </c>
      <c r="D15" s="17">
        <f>$F$8*($A15*Supuestos!$B$6*Supuestos!$B$7)</f>
        <v/>
      </c>
    </row>
    <row r="18">
      <c r="A18" s="8" t="inlineStr">
        <is>
          <t>Costo ANUAL por escenario (USD)</t>
        </is>
      </c>
    </row>
    <row r="19">
      <c r="A19" s="3" t="inlineStr">
        <is>
          <t>Usuarios</t>
        </is>
      </c>
      <c r="B19" s="3" t="inlineStr">
        <is>
          <t>OpenAI</t>
        </is>
      </c>
      <c r="C19" s="3" t="inlineStr">
        <is>
          <t>Claude</t>
        </is>
      </c>
      <c r="D19" s="3" t="inlineStr">
        <is>
          <t>Gemini</t>
        </is>
      </c>
    </row>
    <row r="20">
      <c r="A20" s="21">
        <f>$A13</f>
        <v/>
      </c>
      <c r="B20" s="23">
        <f>B13*12</f>
        <v/>
      </c>
      <c r="C20" s="23">
        <f>C13*12</f>
        <v/>
      </c>
      <c r="D20" s="23">
        <f>D13*12</f>
        <v/>
      </c>
    </row>
    <row r="21">
      <c r="A21" s="21">
        <f>$A14</f>
        <v/>
      </c>
      <c r="B21" s="23">
        <f>B14*12</f>
        <v/>
      </c>
      <c r="C21" s="23">
        <f>C14*12</f>
        <v/>
      </c>
      <c r="D21" s="23">
        <f>D14*12</f>
        <v/>
      </c>
    </row>
    <row r="22">
      <c r="A22" s="21">
        <f>$A15</f>
        <v/>
      </c>
      <c r="B22" s="23">
        <f>B15*12</f>
        <v/>
      </c>
      <c r="C22" s="23">
        <f>C15*12</f>
        <v/>
      </c>
      <c r="D22" s="23">
        <f>D15*12</f>
        <v/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2026-06-02T16:53:27Z</dcterms:created>
  <dcterms:modified xsi:type="dcterms:W3CDTF">2026-06-02T16:53:27Z</dcterms:modified>
</cp:coreProperties>
</file>